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1123114/Documents/projects/papuan_pasts/code/analysis/"/>
    </mc:Choice>
  </mc:AlternateContent>
  <xr:revisionPtr revIDLastSave="0" documentId="13_ncr:1_{DEBFC82D-E230-9040-A037-9E70FB23FA2A}" xr6:coauthVersionLast="47" xr6:coauthVersionMax="47" xr10:uidLastSave="{00000000-0000-0000-0000-000000000000}"/>
  <bookViews>
    <workbookView xWindow="0" yWindow="760" windowWidth="34560" windowHeight="19880" xr2:uid="{8A25B4B8-9D8F-134A-9898-1EFF95CB4B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7" i="1" l="1"/>
  <c r="L16" i="1"/>
  <c r="L15" i="1"/>
  <c r="L14" i="1"/>
  <c r="L13" i="1"/>
  <c r="L12" i="1"/>
  <c r="L11" i="1"/>
  <c r="L10" i="1"/>
  <c r="L3" i="1"/>
  <c r="L4" i="1"/>
  <c r="L5" i="1"/>
  <c r="L6" i="1"/>
  <c r="L7" i="1"/>
  <c r="L8" i="1"/>
  <c r="L9" i="1"/>
  <c r="L2" i="1"/>
</calcChain>
</file>

<file path=xl/sharedStrings.xml><?xml version="1.0" encoding="utf-8"?>
<sst xmlns="http://schemas.openxmlformats.org/spreadsheetml/2006/main" count="109" uniqueCount="23">
  <si>
    <t>Model</t>
  </si>
  <si>
    <t>bModelTest</t>
  </si>
  <si>
    <t>Empirical</t>
  </si>
  <si>
    <t>Estimated</t>
  </si>
  <si>
    <t>LogNormal</t>
  </si>
  <si>
    <t>RelaxedClockRate</t>
  </si>
  <si>
    <t>time</t>
  </si>
  <si>
    <t>Strict</t>
  </si>
  <si>
    <t>-</t>
  </si>
  <si>
    <t>sample</t>
  </si>
  <si>
    <t>Subset</t>
  </si>
  <si>
    <t>M</t>
  </si>
  <si>
    <t>N</t>
  </si>
  <si>
    <t>TipDates</t>
  </si>
  <si>
    <t>NA</t>
  </si>
  <si>
    <t>SiteModel</t>
  </si>
  <si>
    <t>transitionTransversionSplit</t>
  </si>
  <si>
    <t>ClockModel</t>
  </si>
  <si>
    <t>Optimised Relaxed Clock</t>
  </si>
  <si>
    <t>Priors_ORCRates.c</t>
  </si>
  <si>
    <t>chain_length</t>
  </si>
  <si>
    <t>pre_burnin</t>
  </si>
  <si>
    <t>store_every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</si>
</sst>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51621-CA7B-114F-B66F-1D3FC3C24927}">
  <dimension ref="A1:M17"/>
  <sheetViews>
    <sheetView tabSelected="1" workbookViewId="0">
      <selection activeCell="G14" sqref="G14"/>
    </sheetView>
  </sheetViews>
  <sheetFormatPr baseColWidth="10" defaultRowHeight="16" x14ac:dyDescent="0.2"/>
  <cols>
    <col min="4" max="4" width="23.33203125" bestFit="1" customWidth="1"/>
    <col min="5" max="5" width="23.33203125" customWidth="1"/>
    <col min="6" max="6" width="21.6640625" bestFit="1" customWidth="1"/>
    <col min="7" max="7" width="15.6640625" bestFit="1" customWidth="1"/>
    <col min="8" max="8" width="25.1640625" customWidth="1"/>
    <col min="9" max="9" width="12.33203125" bestFit="1" customWidth="1"/>
    <col min="11" max="11" width="11.1640625" bestFit="1" customWidth="1"/>
    <col min="12" max="12" width="11.1640625" customWidth="1"/>
  </cols>
  <sheetData>
    <row r="1" spans="1:13" x14ac:dyDescent="0.2">
      <c r="A1" t="s">
        <v>10</v>
      </c>
      <c r="B1" t="s">
        <v>0</v>
      </c>
      <c r="C1" t="s">
        <v>13</v>
      </c>
      <c r="D1" t="s">
        <v>15</v>
      </c>
      <c r="E1" t="s">
        <v>1</v>
      </c>
      <c r="F1" t="s">
        <v>17</v>
      </c>
      <c r="G1" t="s">
        <v>5</v>
      </c>
      <c r="H1" t="s">
        <v>19</v>
      </c>
      <c r="I1" t="s">
        <v>20</v>
      </c>
      <c r="J1" t="s">
        <v>21</v>
      </c>
      <c r="K1" t="s">
        <v>22</v>
      </c>
      <c r="L1" t="s">
        <v>9</v>
      </c>
      <c r="M1" t="s">
        <v>6</v>
      </c>
    </row>
    <row r="2" spans="1:13" x14ac:dyDescent="0.2">
      <c r="A2" t="s">
        <v>11</v>
      </c>
      <c r="B2">
        <v>1</v>
      </c>
      <c r="C2" t="s">
        <v>14</v>
      </c>
      <c r="D2" t="s">
        <v>16</v>
      </c>
      <c r="E2" t="s">
        <v>2</v>
      </c>
      <c r="F2" t="s">
        <v>18</v>
      </c>
      <c r="G2">
        <v>2.62E-8</v>
      </c>
      <c r="H2" t="s">
        <v>4</v>
      </c>
      <c r="I2">
        <v>50000000</v>
      </c>
      <c r="J2">
        <v>20000000</v>
      </c>
      <c r="K2">
        <v>10000</v>
      </c>
      <c r="L2">
        <f xml:space="preserve"> (I2 - J2) / K2</f>
        <v>3000</v>
      </c>
    </row>
    <row r="3" spans="1:13" x14ac:dyDescent="0.2">
      <c r="A3" t="s">
        <v>11</v>
      </c>
      <c r="B3">
        <v>2</v>
      </c>
      <c r="C3" t="s">
        <v>14</v>
      </c>
      <c r="D3" t="s">
        <v>16</v>
      </c>
      <c r="E3" t="s">
        <v>3</v>
      </c>
      <c r="F3" t="s">
        <v>18</v>
      </c>
      <c r="G3">
        <v>2.77E-8</v>
      </c>
      <c r="H3" t="s">
        <v>4</v>
      </c>
      <c r="I3">
        <v>50000000</v>
      </c>
      <c r="J3">
        <v>20000000</v>
      </c>
      <c r="K3">
        <v>10000</v>
      </c>
      <c r="L3">
        <f t="shared" ref="L3:L9" si="0" xml:space="preserve"> (I3 - J3) / K3</f>
        <v>3000</v>
      </c>
    </row>
    <row r="4" spans="1:13" x14ac:dyDescent="0.2">
      <c r="A4" t="s">
        <v>11</v>
      </c>
      <c r="B4">
        <v>3</v>
      </c>
      <c r="C4" t="s">
        <v>14</v>
      </c>
      <c r="D4" t="s">
        <v>16</v>
      </c>
      <c r="E4" t="s">
        <v>2</v>
      </c>
      <c r="F4" t="s">
        <v>18</v>
      </c>
      <c r="G4">
        <v>2.62E-8</v>
      </c>
      <c r="H4" t="s">
        <v>4</v>
      </c>
      <c r="I4">
        <v>50000000</v>
      </c>
      <c r="J4">
        <v>20000000</v>
      </c>
      <c r="K4">
        <v>10000</v>
      </c>
      <c r="L4">
        <f t="shared" si="0"/>
        <v>3000</v>
      </c>
    </row>
    <row r="5" spans="1:13" x14ac:dyDescent="0.2">
      <c r="A5" t="s">
        <v>11</v>
      </c>
      <c r="B5">
        <v>4</v>
      </c>
      <c r="C5" t="s">
        <v>14</v>
      </c>
      <c r="D5" t="s">
        <v>16</v>
      </c>
      <c r="E5" t="s">
        <v>3</v>
      </c>
      <c r="F5" t="s">
        <v>18</v>
      </c>
      <c r="G5">
        <v>2.77E-8</v>
      </c>
      <c r="H5" t="s">
        <v>4</v>
      </c>
      <c r="I5">
        <v>50000000</v>
      </c>
      <c r="J5">
        <v>20000000</v>
      </c>
      <c r="K5">
        <v>10000</v>
      </c>
      <c r="L5">
        <f t="shared" si="0"/>
        <v>3000</v>
      </c>
    </row>
    <row r="6" spans="1:13" x14ac:dyDescent="0.2">
      <c r="A6" t="s">
        <v>11</v>
      </c>
      <c r="B6">
        <v>5</v>
      </c>
      <c r="C6" t="s">
        <v>14</v>
      </c>
      <c r="D6" t="s">
        <v>16</v>
      </c>
      <c r="E6" t="s">
        <v>2</v>
      </c>
      <c r="F6" t="s">
        <v>7</v>
      </c>
      <c r="G6">
        <v>2.62E-8</v>
      </c>
      <c r="H6" t="s">
        <v>8</v>
      </c>
      <c r="I6">
        <v>50000000</v>
      </c>
      <c r="J6">
        <v>20000000</v>
      </c>
      <c r="K6">
        <v>10000</v>
      </c>
      <c r="L6">
        <f t="shared" si="0"/>
        <v>3000</v>
      </c>
    </row>
    <row r="7" spans="1:13" x14ac:dyDescent="0.2">
      <c r="A7" t="s">
        <v>11</v>
      </c>
      <c r="B7">
        <v>6</v>
      </c>
      <c r="C7" t="s">
        <v>14</v>
      </c>
      <c r="D7" t="s">
        <v>16</v>
      </c>
      <c r="E7" t="s">
        <v>3</v>
      </c>
      <c r="F7" t="s">
        <v>7</v>
      </c>
      <c r="G7">
        <v>2.77E-8</v>
      </c>
      <c r="H7" t="s">
        <v>8</v>
      </c>
      <c r="I7">
        <v>50000000</v>
      </c>
      <c r="J7">
        <v>20000000</v>
      </c>
      <c r="K7">
        <v>10000</v>
      </c>
      <c r="L7">
        <f t="shared" si="0"/>
        <v>3000</v>
      </c>
    </row>
    <row r="8" spans="1:13" x14ac:dyDescent="0.2">
      <c r="A8" t="s">
        <v>11</v>
      </c>
      <c r="B8">
        <v>7</v>
      </c>
      <c r="C8" t="s">
        <v>14</v>
      </c>
      <c r="D8" t="s">
        <v>16</v>
      </c>
      <c r="E8" t="s">
        <v>2</v>
      </c>
      <c r="F8" t="s">
        <v>7</v>
      </c>
      <c r="G8">
        <v>2.62E-8</v>
      </c>
      <c r="H8" t="s">
        <v>8</v>
      </c>
      <c r="I8">
        <v>50000000</v>
      </c>
      <c r="J8">
        <v>20000000</v>
      </c>
      <c r="K8">
        <v>10000</v>
      </c>
      <c r="L8">
        <f t="shared" si="0"/>
        <v>3000</v>
      </c>
    </row>
    <row r="9" spans="1:13" x14ac:dyDescent="0.2">
      <c r="A9" t="s">
        <v>11</v>
      </c>
      <c r="B9">
        <v>8</v>
      </c>
      <c r="C9" t="s">
        <v>14</v>
      </c>
      <c r="D9" t="s">
        <v>16</v>
      </c>
      <c r="E9" t="s">
        <v>3</v>
      </c>
      <c r="F9" t="s">
        <v>7</v>
      </c>
      <c r="G9">
        <v>2.77E-8</v>
      </c>
      <c r="H9" t="s">
        <v>8</v>
      </c>
      <c r="I9">
        <v>50000000</v>
      </c>
      <c r="J9">
        <v>20000000</v>
      </c>
      <c r="K9">
        <v>10000</v>
      </c>
      <c r="L9">
        <f t="shared" si="0"/>
        <v>3000</v>
      </c>
    </row>
    <row r="10" spans="1:13" x14ac:dyDescent="0.2">
      <c r="A10" t="s">
        <v>12</v>
      </c>
      <c r="B10">
        <v>1</v>
      </c>
      <c r="C10" t="s">
        <v>14</v>
      </c>
      <c r="D10" t="s">
        <v>16</v>
      </c>
      <c r="E10" t="s">
        <v>2</v>
      </c>
      <c r="F10" t="s">
        <v>18</v>
      </c>
      <c r="G10">
        <v>2.62E-8</v>
      </c>
      <c r="H10" t="s">
        <v>4</v>
      </c>
      <c r="I10">
        <v>50000000</v>
      </c>
      <c r="J10">
        <v>20000000</v>
      </c>
      <c r="K10">
        <v>10000</v>
      </c>
      <c r="L10">
        <f xml:space="preserve"> (I10 - J10) / K10</f>
        <v>3000</v>
      </c>
    </row>
    <row r="11" spans="1:13" x14ac:dyDescent="0.2">
      <c r="A11" t="s">
        <v>12</v>
      </c>
      <c r="B11">
        <v>2</v>
      </c>
      <c r="C11" t="s">
        <v>14</v>
      </c>
      <c r="D11" t="s">
        <v>16</v>
      </c>
      <c r="E11" t="s">
        <v>3</v>
      </c>
      <c r="F11" t="s">
        <v>18</v>
      </c>
      <c r="G11">
        <v>2.77E-8</v>
      </c>
      <c r="H11" t="s">
        <v>4</v>
      </c>
      <c r="I11">
        <v>50000000</v>
      </c>
      <c r="J11">
        <v>20000000</v>
      </c>
      <c r="K11">
        <v>10000</v>
      </c>
      <c r="L11">
        <f t="shared" ref="L11:L17" si="1" xml:space="preserve"> (I11 - J11) / K11</f>
        <v>3000</v>
      </c>
    </row>
    <row r="12" spans="1:13" x14ac:dyDescent="0.2">
      <c r="A12" t="s">
        <v>12</v>
      </c>
      <c r="B12">
        <v>3</v>
      </c>
      <c r="C12" t="s">
        <v>14</v>
      </c>
      <c r="D12" t="s">
        <v>16</v>
      </c>
      <c r="E12" t="s">
        <v>2</v>
      </c>
      <c r="F12" t="s">
        <v>18</v>
      </c>
      <c r="G12">
        <v>2.62E-8</v>
      </c>
      <c r="H12" t="s">
        <v>4</v>
      </c>
      <c r="I12">
        <v>50000000</v>
      </c>
      <c r="J12">
        <v>20000000</v>
      </c>
      <c r="K12">
        <v>10000</v>
      </c>
      <c r="L12">
        <f t="shared" si="1"/>
        <v>3000</v>
      </c>
    </row>
    <row r="13" spans="1:13" x14ac:dyDescent="0.2">
      <c r="A13" t="s">
        <v>12</v>
      </c>
      <c r="B13">
        <v>4</v>
      </c>
      <c r="C13" t="s">
        <v>14</v>
      </c>
      <c r="D13" t="s">
        <v>16</v>
      </c>
      <c r="E13" t="s">
        <v>3</v>
      </c>
      <c r="F13" t="s">
        <v>18</v>
      </c>
      <c r="G13">
        <v>2.77E-8</v>
      </c>
      <c r="H13" t="s">
        <v>4</v>
      </c>
      <c r="I13">
        <v>50000000</v>
      </c>
      <c r="J13">
        <v>20000000</v>
      </c>
      <c r="K13">
        <v>10000</v>
      </c>
      <c r="L13">
        <f t="shared" si="1"/>
        <v>3000</v>
      </c>
    </row>
    <row r="14" spans="1:13" x14ac:dyDescent="0.2">
      <c r="A14" t="s">
        <v>12</v>
      </c>
      <c r="B14">
        <v>5</v>
      </c>
      <c r="C14" t="s">
        <v>14</v>
      </c>
      <c r="D14" t="s">
        <v>16</v>
      </c>
      <c r="E14" t="s">
        <v>2</v>
      </c>
      <c r="F14" t="s">
        <v>7</v>
      </c>
      <c r="G14">
        <v>2.62E-8</v>
      </c>
      <c r="H14" t="s">
        <v>8</v>
      </c>
      <c r="I14">
        <v>50000000</v>
      </c>
      <c r="J14">
        <v>20000000</v>
      </c>
      <c r="K14">
        <v>10000</v>
      </c>
      <c r="L14">
        <f t="shared" si="1"/>
        <v>3000</v>
      </c>
    </row>
    <row r="15" spans="1:13" x14ac:dyDescent="0.2">
      <c r="A15" t="s">
        <v>12</v>
      </c>
      <c r="B15">
        <v>6</v>
      </c>
      <c r="C15" t="s">
        <v>14</v>
      </c>
      <c r="D15" t="s">
        <v>16</v>
      </c>
      <c r="E15" t="s">
        <v>3</v>
      </c>
      <c r="F15" t="s">
        <v>7</v>
      </c>
      <c r="G15">
        <v>2.77E-8</v>
      </c>
      <c r="H15" t="s">
        <v>8</v>
      </c>
      <c r="I15">
        <v>50000000</v>
      </c>
      <c r="J15">
        <v>20000000</v>
      </c>
      <c r="K15">
        <v>10000</v>
      </c>
      <c r="L15">
        <f t="shared" si="1"/>
        <v>3000</v>
      </c>
    </row>
    <row r="16" spans="1:13" x14ac:dyDescent="0.2">
      <c r="A16" t="s">
        <v>12</v>
      </c>
      <c r="B16">
        <v>7</v>
      </c>
      <c r="C16" t="s">
        <v>14</v>
      </c>
      <c r="D16" t="s">
        <v>16</v>
      </c>
      <c r="E16" t="s">
        <v>2</v>
      </c>
      <c r="F16" t="s">
        <v>7</v>
      </c>
      <c r="G16">
        <v>2.62E-8</v>
      </c>
      <c r="H16" t="s">
        <v>8</v>
      </c>
      <c r="I16">
        <v>50000000</v>
      </c>
      <c r="J16">
        <v>20000000</v>
      </c>
      <c r="K16">
        <v>10000</v>
      </c>
      <c r="L16">
        <f t="shared" si="1"/>
        <v>3000</v>
      </c>
    </row>
    <row r="17" spans="1:12" x14ac:dyDescent="0.2">
      <c r="A17" t="s">
        <v>12</v>
      </c>
      <c r="B17">
        <v>8</v>
      </c>
      <c r="C17" t="s">
        <v>14</v>
      </c>
      <c r="D17" t="s">
        <v>16</v>
      </c>
      <c r="E17" t="s">
        <v>3</v>
      </c>
      <c r="F17" t="s">
        <v>7</v>
      </c>
      <c r="G17">
        <v>2.77E-8</v>
      </c>
      <c r="H17" t="s">
        <v>8</v>
      </c>
      <c r="I17">
        <v>50000000</v>
      </c>
      <c r="J17">
        <v>20000000</v>
      </c>
      <c r="K17">
        <v>10000</v>
      </c>
      <c r="L17">
        <f t="shared" si="1"/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2023-05-02T03:36:43Z</dcterms:created>
  <dcterms:modified xsi:type="dcterms:W3CDTF">2023-07-27T06:40:11Z</dcterms:modified>
</cp:coreProperties>
</file>